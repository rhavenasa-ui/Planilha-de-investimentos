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vena.sa\Downloads\"/>
    </mc:Choice>
  </mc:AlternateContent>
  <xr:revisionPtr revIDLastSave="0" documentId="13_ncr:1_{73E74D28-8848-44F6-8FAA-8A36445F6AF7}" xr6:coauthVersionLast="47" xr6:coauthVersionMax="47" xr10:uidLastSave="{00000000-0000-0000-0000-000000000000}"/>
  <bookViews>
    <workbookView xWindow="28680" yWindow="-120" windowWidth="25440" windowHeight="15270" activeTab="4" xr2:uid="{F75734AB-82F7-4A37-B70F-63FA6AA2DF48}"/>
  </bookViews>
  <sheets>
    <sheet name="APP" sheetId="1" r:id="rId1"/>
    <sheet name="Evidência Conservador" sheetId="3" r:id="rId2"/>
    <sheet name="Evidência Agressivo" sheetId="4" r:id="rId3"/>
    <sheet name="Sheet2" sheetId="2" r:id="rId4"/>
    <sheet name="Guia do Portfólio" sheetId="5" r:id="rId5"/>
  </sheets>
  <definedNames>
    <definedName name="aporte" localSheetId="2">'Evidência Agressivo'!$D$10</definedName>
    <definedName name="aporte" localSheetId="1">'Evidência Conservador'!$D$10</definedName>
    <definedName name="aporte">APP!$D$10</definedName>
    <definedName name="patrimonio" localSheetId="2">'Evidência Agressivo'!$D$13</definedName>
    <definedName name="patrimonio" localSheetId="1">'Evidência Conservador'!$D$13</definedName>
    <definedName name="patrimonio">APP!$D$13</definedName>
    <definedName name="_xlnm.Print_Area" localSheetId="0">APP!$B$2:$D$35</definedName>
    <definedName name="_xlnm.Print_Area" localSheetId="2">'Evidência Agressivo'!$B$2:$D$35</definedName>
    <definedName name="_xlnm.Print_Area" localSheetId="1">'Evidência Conservador'!$B$2:$D$35</definedName>
    <definedName name="_xlnm.Print_Area" localSheetId="4">'Guia do Portfólio'!$A$1:$D$29</definedName>
    <definedName name="qtd_anos" localSheetId="2">'Evidência Agressivo'!$D$11</definedName>
    <definedName name="qtd_anos" localSheetId="1">'Evidência Conservador'!$D$11</definedName>
    <definedName name="qtd_anos">APP!$D$11</definedName>
    <definedName name="rendimento_carteira" localSheetId="2">'Evidência Agressivo'!$D$6</definedName>
    <definedName name="rendimento_carteira" localSheetId="1">'Evidência Conservador'!$D$6</definedName>
    <definedName name="rendimento_carteira">APP!$D$6</definedName>
    <definedName name="taxa_mensal" localSheetId="2">'Evidência Agressivo'!$D$12</definedName>
    <definedName name="taxa_mensal" localSheetId="1">'Evidência Conservador'!$D$12</definedName>
    <definedName name="taxa_mensal">APP!$D$12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7" i="3"/>
  <c r="D7" i="1"/>
  <c r="D34" i="4"/>
  <c r="C34" i="4"/>
  <c r="C33" i="4"/>
  <c r="D33" i="4" s="1"/>
  <c r="C32" i="4"/>
  <c r="D32" i="4" s="1"/>
  <c r="C31" i="4"/>
  <c r="D31" i="4" s="1"/>
  <c r="C30" i="4"/>
  <c r="D30" i="4" s="1"/>
  <c r="C29" i="4"/>
  <c r="D29" i="4" s="1"/>
  <c r="C26" i="4"/>
  <c r="C21" i="4"/>
  <c r="D21" i="4" s="1"/>
  <c r="C20" i="4"/>
  <c r="D20" i="4" s="1"/>
  <c r="C19" i="4"/>
  <c r="D19" i="4" s="1"/>
  <c r="D18" i="4"/>
  <c r="C18" i="4"/>
  <c r="C17" i="4"/>
  <c r="D17" i="4" s="1"/>
  <c r="D13" i="4"/>
  <c r="D14" i="4" s="1"/>
  <c r="C34" i="3"/>
  <c r="D34" i="3" s="1"/>
  <c r="C33" i="3"/>
  <c r="C32" i="3"/>
  <c r="C31" i="3"/>
  <c r="C30" i="3"/>
  <c r="C29" i="3"/>
  <c r="C26" i="3"/>
  <c r="C21" i="3"/>
  <c r="D21" i="3" s="1"/>
  <c r="C20" i="3"/>
  <c r="D20" i="3" s="1"/>
  <c r="C19" i="3"/>
  <c r="D19" i="3" s="1"/>
  <c r="C18" i="3"/>
  <c r="D18" i="3" s="1"/>
  <c r="C17" i="3"/>
  <c r="D17" i="3" s="1"/>
  <c r="D13" i="3"/>
  <c r="D14" i="3" s="1"/>
  <c r="C34" i="1"/>
  <c r="C33" i="1"/>
  <c r="C32" i="1"/>
  <c r="C31" i="1"/>
  <c r="C30" i="1"/>
  <c r="C29" i="1"/>
  <c r="D35" i="4" l="1"/>
  <c r="D29" i="3"/>
  <c r="D30" i="3"/>
  <c r="D31" i="3"/>
  <c r="D32" i="3"/>
  <c r="D33" i="3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G4" i="2" s="1"/>
  <c r="H4" i="2" s="1"/>
  <c r="A3" i="2"/>
  <c r="C26" i="1"/>
  <c r="D33" i="1" s="1"/>
  <c r="C21" i="1"/>
  <c r="D21" i="1" s="1"/>
  <c r="C20" i="1"/>
  <c r="D20" i="1" s="1"/>
  <c r="C19" i="1"/>
  <c r="D19" i="1" s="1"/>
  <c r="D18" i="1"/>
  <c r="C18" i="1"/>
  <c r="C17" i="1"/>
  <c r="D17" i="1" s="1"/>
  <c r="D13" i="1"/>
  <c r="D14" i="1" s="1"/>
  <c r="D32" i="1" l="1"/>
  <c r="D34" i="1"/>
  <c r="D29" i="1"/>
  <c r="D30" i="1"/>
  <c r="D31" i="1"/>
  <c r="D35" i="3"/>
  <c r="D35" i="1"/>
</calcChain>
</file>

<file path=xl/sharedStrings.xml><?xml version="1.0" encoding="utf-8"?>
<sst xmlns="http://schemas.openxmlformats.org/spreadsheetml/2006/main" count="216" uniqueCount="113">
  <si>
    <t>RHAVENA SÁ - INVESTIMENTOS</t>
  </si>
  <si>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</si>
  <si>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</si>
  <si>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</si>
  <si>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</si>
  <si>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</si>
  <si>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</si>
  <si>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</si>
  <si>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</si>
  <si>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</si>
  <si>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</si>
  <si>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</si>
  <si>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</si>
  <si>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</si>
  <si>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</si>
  <si>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</si>
  <si>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</si>
  <si>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</si>
  <si>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</si>
  <si>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</si>
  <si>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</si>
  <si>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</si>
  <si>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</si>
  <si>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</si>
  <si>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</si>
  <si>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</si>
  <si>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</si>
  <si>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</si>
  <si>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</si>
  <si>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</si>
  <si>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</si>
  <si>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</si>
  <si>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Moderado</t>
  </si>
  <si>
    <t>Agressivo</t>
  </si>
  <si>
    <t>EVIDÊNCIA — PERFIL CONSERVADOR</t>
  </si>
  <si>
    <t>EVIDÊNCIA — PERFIL AGRESSIVO</t>
  </si>
  <si>
    <t>GUIA DA FERRAMENTA DE INVESTIMENTOS</t>
  </si>
  <si>
    <t>O que a ferramenta responde</t>
  </si>
  <si>
    <t>Entrada / lógica</t>
  </si>
  <si>
    <t>Onde aparece</t>
  </si>
  <si>
    <t>Resultado na simulação</t>
  </si>
  <si>
    <t>Quanto investir por mês?</t>
  </si>
  <si>
    <t>Aporte informado</t>
  </si>
  <si>
    <t>APP!D10</t>
  </si>
  <si>
    <t>R$ 1.000,00</t>
  </si>
  <si>
    <t>Por quantos anos investir?</t>
  </si>
  <si>
    <t>Prazo informado</t>
  </si>
  <si>
    <t>APP!D11</t>
  </si>
  <si>
    <t>10 anos</t>
  </si>
  <si>
    <t>Qual o patrimônio acumulado?</t>
  </si>
  <si>
    <t>VF(taxa; meses; -aporte)</t>
  </si>
  <si>
    <t>APP!D13</t>
  </si>
  <si>
    <t>R$ 243.284,21</t>
  </si>
  <si>
    <t>Qual a renda mensal estimada?</t>
  </si>
  <si>
    <t>Patrimônio × rendimento da carteira</t>
  </si>
  <si>
    <t>APP!D14</t>
  </si>
  <si>
    <t>R$ 1.459,71</t>
  </si>
  <si>
    <t>Quanto acumula em 2, 5, 10, 20 e 30 anos?</t>
  </si>
  <si>
    <t>VF em cada prazo</t>
  </si>
  <si>
    <t>APP!C17:D21</t>
  </si>
  <si>
    <t>Cenários e dividendos</t>
  </si>
  <si>
    <t>Como dividir o aporte entre FIIs?</t>
  </si>
  <si>
    <t>PROCV por perfil + tipo</t>
  </si>
  <si>
    <t>APP!C29:D34</t>
  </si>
  <si>
    <t>Percentuais e valores</t>
  </si>
  <si>
    <t>INTERVALOS NOMEADOS</t>
  </si>
  <si>
    <t>Referência</t>
  </si>
  <si>
    <t>Uso</t>
  </si>
  <si>
    <t>aporte</t>
  </si>
  <si>
    <t>APP!$D$10</t>
  </si>
  <si>
    <t>Pagamento mensal no VF e base da alocação</t>
  </si>
  <si>
    <t>qtd_anos</t>
  </si>
  <si>
    <t>APP!$D$11</t>
  </si>
  <si>
    <t>Prazo × 12 meses no VF</t>
  </si>
  <si>
    <t>taxa_mensal</t>
  </si>
  <si>
    <t>APP!$D$12</t>
  </si>
  <si>
    <t>Taxa periódica do VF</t>
  </si>
  <si>
    <t>patrimonio</t>
  </si>
  <si>
    <t>APP!$D$13</t>
  </si>
  <si>
    <t>Base para calcular dividendos</t>
  </si>
  <si>
    <t>rendimento_carteira</t>
  </si>
  <si>
    <t>APP!$D$6</t>
  </si>
  <si>
    <t>Percentual mensal aplicado ao patrimônio</t>
  </si>
  <si>
    <t>PERCENTUAIS POR PERFIL</t>
  </si>
  <si>
    <t>Papel</t>
  </si>
  <si>
    <t>Tijolo</t>
  </si>
  <si>
    <t>Híbridos / FOFs / Desenvolvimento / Hotelarias</t>
  </si>
  <si>
    <t>10% / 10% / 0% / 0%</t>
  </si>
  <si>
    <t>8% / 5% / 10% / 10%</t>
  </si>
  <si>
    <t>5% / 5% / 20% / 10%</t>
  </si>
  <si>
    <t>EVIDÊNCIA COMPARÁVEL</t>
  </si>
  <si>
    <t>Mesmo aporte</t>
  </si>
  <si>
    <t>Mesmo prazo e taxa</t>
  </si>
  <si>
    <t>Apenas o perfil muda</t>
  </si>
  <si>
    <t>10 anos; 1,079% a.m.</t>
  </si>
  <si>
    <t>R$ 300 / 500 / 100 / 100 / 0 / 0</t>
  </si>
  <si>
    <t>R$ 500 / 100 / 50 / 50 / 200 / 100</t>
  </si>
  <si>
    <t>PRINCIPAIS ADAPTAÇÕES</t>
  </si>
  <si>
    <t>Seletor de perfil</t>
  </si>
  <si>
    <t>Base de percentuais + PROCV</t>
  </si>
  <si>
    <t>Cenários, dividendos e gráfico de alocação</t>
  </si>
  <si>
    <t>ORIGEM DOS PERCENTUAIS</t>
  </si>
  <si>
    <t>Premissas fixas cadastradas em Sheet2!B3:D20</t>
  </si>
  <si>
    <t>Cada perfil soma 100%</t>
  </si>
  <si>
    <t>A planilha não contém fonte externa ou justificativa metodológica</t>
  </si>
  <si>
    <t>LEITURA DA COMPARAÇÃO</t>
  </si>
  <si>
    <t>O patrimônio não muda ao trocar o perfil</t>
  </si>
  <si>
    <t>O perfil altera somente a divisão do mesmo aporte</t>
  </si>
  <si>
    <t>Use as duas abas de evidência nos prints</t>
  </si>
  <si>
    <t>CORREÇÃO DE CONSISTÊNCIA</t>
  </si>
  <si>
    <t>A sugestão rotulada como 30% calculava 20%</t>
  </si>
  <si>
    <t>Fórmula ajustada para salário × 30%</t>
  </si>
  <si>
    <t>R$ 4.500,00 sobre salário de R$ 15.000,00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</si>
</sst>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9C5700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D9EAF7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Continuous"/>
    </xf>
    <xf numFmtId="0" fontId="5" fillId="3" borderId="2" xfId="0" applyFont="1" applyFill="1" applyBorder="1" applyAlignment="1">
      <alignment horizontal="centerContinuous"/>
    </xf>
    <xf numFmtId="0" fontId="5" fillId="3" borderId="3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 vertical="center"/>
    </xf>
    <xf numFmtId="164" fontId="3" fillId="0" borderId="9" xfId="1" applyNumberFormat="1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164" fontId="3" fillId="5" borderId="15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8" fontId="6" fillId="6" borderId="12" xfId="0" applyNumberFormat="1" applyFont="1" applyFill="1" applyBorder="1" applyAlignment="1">
      <alignment horizontal="center"/>
    </xf>
    <xf numFmtId="8" fontId="6" fillId="6" borderId="15" xfId="0" applyNumberFormat="1" applyFont="1" applyFill="1" applyBorder="1" applyAlignment="1">
      <alignment horizontal="center"/>
    </xf>
    <xf numFmtId="9" fontId="3" fillId="0" borderId="0" xfId="0" applyNumberFormat="1" applyFont="1"/>
    <xf numFmtId="0" fontId="5" fillId="0" borderId="0" xfId="0" applyFont="1"/>
    <xf numFmtId="0" fontId="3" fillId="6" borderId="16" xfId="0" applyFont="1" applyFill="1" applyBorder="1" applyAlignment="1">
      <alignment horizontal="left" indent="3"/>
    </xf>
    <xf numFmtId="164" fontId="3" fillId="6" borderId="17" xfId="0" applyNumberFormat="1" applyFont="1" applyFill="1" applyBorder="1" applyAlignment="1">
      <alignment horizontal="center"/>
    </xf>
    <xf numFmtId="164" fontId="3" fillId="6" borderId="18" xfId="0" applyNumberFormat="1" applyFont="1" applyFill="1" applyBorder="1" applyAlignment="1">
      <alignment horizontal="center"/>
    </xf>
    <xf numFmtId="0" fontId="3" fillId="6" borderId="19" xfId="0" applyFont="1" applyFill="1" applyBorder="1" applyAlignment="1">
      <alignment horizontal="left" indent="3"/>
    </xf>
    <xf numFmtId="164" fontId="3" fillId="6" borderId="20" xfId="0" applyNumberFormat="1" applyFont="1" applyFill="1" applyBorder="1" applyAlignment="1">
      <alignment horizontal="center"/>
    </xf>
    <xf numFmtId="164" fontId="3" fillId="6" borderId="21" xfId="0" applyNumberFormat="1" applyFont="1" applyFill="1" applyBorder="1" applyAlignment="1">
      <alignment horizontal="center"/>
    </xf>
    <xf numFmtId="0" fontId="3" fillId="6" borderId="22" xfId="0" applyFont="1" applyFill="1" applyBorder="1" applyAlignment="1">
      <alignment horizontal="left" indent="3"/>
    </xf>
    <xf numFmtId="164" fontId="3" fillId="6" borderId="23" xfId="0" applyNumberFormat="1" applyFont="1" applyFill="1" applyBorder="1" applyAlignment="1">
      <alignment horizontal="center"/>
    </xf>
    <xf numFmtId="164" fontId="3" fillId="6" borderId="24" xfId="0" applyNumberFormat="1" applyFont="1" applyFill="1" applyBorder="1" applyAlignment="1">
      <alignment horizontal="center"/>
    </xf>
    <xf numFmtId="0" fontId="5" fillId="4" borderId="0" xfId="3" applyFont="1" applyFill="1"/>
    <xf numFmtId="0" fontId="5" fillId="4" borderId="0" xfId="3" applyFont="1" applyFill="1" applyAlignment="1">
      <alignment horizontal="center"/>
    </xf>
    <xf numFmtId="0" fontId="6" fillId="5" borderId="0" xfId="0" applyFont="1" applyFill="1"/>
    <xf numFmtId="164" fontId="6" fillId="5" borderId="0" xfId="1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0" fontId="7" fillId="2" borderId="0" xfId="3" applyFont="1"/>
    <xf numFmtId="9" fontId="7" fillId="2" borderId="0" xfId="2" applyFont="1" applyFill="1"/>
    <xf numFmtId="0" fontId="3" fillId="0" borderId="25" xfId="0" applyFont="1" applyBorder="1"/>
    <xf numFmtId="0" fontId="3" fillId="0" borderId="25" xfId="0" applyFont="1" applyBorder="1" applyAlignment="1">
      <alignment horizontal="center"/>
    </xf>
    <xf numFmtId="9" fontId="3" fillId="0" borderId="25" xfId="0" applyNumberFormat="1" applyFont="1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9" fontId="3" fillId="7" borderId="0" xfId="0" applyNumberFormat="1" applyFont="1" applyFill="1" applyAlignment="1">
      <alignment horizont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3" fillId="5" borderId="10" xfId="0" applyFont="1" applyFill="1" applyBorder="1" applyAlignment="1">
      <alignment horizontal="left" indent="3"/>
    </xf>
    <xf numFmtId="0" fontId="3" fillId="5" borderId="11" xfId="0" applyFont="1" applyFill="1" applyBorder="1" applyAlignment="1">
      <alignment horizontal="left" indent="3"/>
    </xf>
    <xf numFmtId="0" fontId="6" fillId="6" borderId="10" xfId="0" applyFont="1" applyFill="1" applyBorder="1" applyAlignment="1">
      <alignment horizontal="left" indent="3"/>
    </xf>
    <xf numFmtId="0" fontId="6" fillId="6" borderId="11" xfId="0" applyFont="1" applyFill="1" applyBorder="1" applyAlignment="1">
      <alignment horizontal="left" indent="3"/>
    </xf>
    <xf numFmtId="0" fontId="6" fillId="6" borderId="13" xfId="0" applyFont="1" applyFill="1" applyBorder="1" applyAlignment="1">
      <alignment horizontal="left" indent="3"/>
    </xf>
    <xf numFmtId="0" fontId="6" fillId="6" borderId="14" xfId="0" applyFont="1" applyFill="1" applyBorder="1" applyAlignment="1">
      <alignment horizontal="left" indent="3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 indent="3"/>
    </xf>
    <xf numFmtId="0" fontId="3" fillId="5" borderId="8" xfId="0" applyFont="1" applyFill="1" applyBorder="1" applyAlignment="1">
      <alignment horizontal="left" indent="3"/>
    </xf>
    <xf numFmtId="0" fontId="3" fillId="5" borderId="13" xfId="0" applyFont="1" applyFill="1" applyBorder="1" applyAlignment="1">
      <alignment horizontal="left" indent="3"/>
    </xf>
    <xf numFmtId="0" fontId="3" fillId="5" borderId="14" xfId="0" applyFont="1" applyFill="1" applyBorder="1" applyAlignment="1">
      <alignment horizontal="left" indent="3"/>
    </xf>
    <xf numFmtId="0" fontId="4" fillId="4" borderId="6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Continuous"/>
    </xf>
    <xf numFmtId="0" fontId="5" fillId="9" borderId="2" xfId="0" applyFont="1" applyFill="1" applyBorder="1" applyAlignment="1">
      <alignment horizontal="centerContinuous"/>
    </xf>
    <xf numFmtId="0" fontId="5" fillId="9" borderId="3" xfId="0" applyFont="1" applyFill="1" applyBorder="1" applyAlignment="1">
      <alignment horizontal="centerContinuous"/>
    </xf>
    <xf numFmtId="0" fontId="4" fillId="10" borderId="1" xfId="0" applyFont="1" applyFill="1" applyBorder="1" applyAlignment="1">
      <alignment horizontal="centerContinuous"/>
    </xf>
    <xf numFmtId="0" fontId="5" fillId="10" borderId="2" xfId="0" applyFont="1" applyFill="1" applyBorder="1" applyAlignment="1">
      <alignment horizontal="centerContinuous"/>
    </xf>
    <xf numFmtId="0" fontId="5" fillId="10" borderId="3" xfId="0" applyFont="1" applyFill="1" applyBorder="1" applyAlignment="1">
      <alignment horizontal="centerContinuous"/>
    </xf>
    <xf numFmtId="0" fontId="9" fillId="9" borderId="0" xfId="0" applyFont="1" applyFill="1" applyBorder="1" applyAlignment="1">
      <alignment vertical="center"/>
    </xf>
    <xf numFmtId="0" fontId="8" fillId="11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9" fontId="0" fillId="0" borderId="0" xfId="0" applyNumberFormat="1" applyBorder="1" applyAlignment="1">
      <alignment vertical="center" wrapText="1"/>
    </xf>
    <xf numFmtId="0" fontId="8" fillId="11" borderId="26" xfId="0" applyFont="1" applyFill="1" applyBorder="1" applyAlignment="1">
      <alignment vertical="center" wrapText="1"/>
    </xf>
    <xf numFmtId="0" fontId="8" fillId="11" borderId="0" xfId="0" applyFont="1" applyFill="1" applyAlignment="1">
      <alignment wrapText="1"/>
    </xf>
    <xf numFmtId="0" fontId="0" fillId="0" borderId="0" xfId="0" applyAlignment="1">
      <alignment wrapText="1"/>
    </xf>
  </cellXfs>
  <cellStyles count="4">
    <cellStyle name="Currency" xfId="1" builtinId="4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APP!$C$28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6A-4EDB-8230-3262FAD0CF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6A-4EDB-8230-3262FAD0CF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6A-4EDB-8230-3262FAD0CF7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6A-4EDB-8230-3262FAD0CF7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C6A-4EDB-8230-3262FAD0CF7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C6A-4EDB-8230-3262FAD0CF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APP!$C$29:$C$34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6A-4EDB-8230-3262FAD0C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'Evidência Conservador'!$C$28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83-4E17-9116-9FEDC5692A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83-4E17-9116-9FEDC5692A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83-4E17-9116-9FEDC5692A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83-4E17-9116-9FEDC5692A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83-4E17-9116-9FEDC5692A7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83-4E17-9116-9FEDC5692A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'Evidência Conservador'!$B$29:$B$34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'Evidência Conservador'!$C$29:$C$34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83-4E17-9116-9FEDC5692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'Evidência Agressivo'!$C$28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91-44E8-9429-D3B22418BB2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91-44E8-9429-D3B22418BB2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91-44E8-9429-D3B22418BB2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91-44E8-9429-D3B22418BB2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91-44E8-9429-D3B22418BB2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191-44E8-9429-D3B22418BB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'Evidência Agressivo'!$B$29:$B$34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'Evidência Agressivo'!$C$29:$C$34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91-44E8-9429-D3B22418B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35</xdr:row>
      <xdr:rowOff>97971</xdr:rowOff>
    </xdr:from>
    <xdr:to>
      <xdr:col>3</xdr:col>
      <xdr:colOff>892175</xdr:colOff>
      <xdr:row>48</xdr:row>
      <xdr:rowOff>35832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BAE77D52-2F1D-48C6-9A58-95BAC7BF0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35</xdr:row>
      <xdr:rowOff>97971</xdr:rowOff>
    </xdr:from>
    <xdr:to>
      <xdr:col>3</xdr:col>
      <xdr:colOff>892175</xdr:colOff>
      <xdr:row>48</xdr:row>
      <xdr:rowOff>35832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83A2AE0E-E9F8-45EB-A749-F88FB0C13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35</xdr:row>
      <xdr:rowOff>97971</xdr:rowOff>
    </xdr:from>
    <xdr:to>
      <xdr:col>3</xdr:col>
      <xdr:colOff>892175</xdr:colOff>
      <xdr:row>48</xdr:row>
      <xdr:rowOff>35832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B5C86D8F-1835-46AE-8BC9-A5F62AC64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EAFE-ACF7-465A-B787-FD87394DFE30}">
  <dimension ref="A1:F51"/>
  <sheetViews>
    <sheetView showGridLines="0" workbookViewId="0">
      <selection activeCell="D31" sqref="D31"/>
    </sheetView>
  </sheetViews>
  <sheetFormatPr defaultRowHeight="14.4" x14ac:dyDescent="0.3"/>
  <cols>
    <col min="1" max="1" width="3" bestFit="1" customWidth="1"/>
    <col min="2" max="2" width="33.33203125" bestFit="1" customWidth="1"/>
    <col min="3" max="3" width="19" bestFit="1" customWidth="1"/>
    <col min="4" max="4" width="13.109375" bestFit="1" customWidth="1"/>
  </cols>
  <sheetData>
    <row r="1" spans="1:6" ht="15" thickBot="1" x14ac:dyDescent="0.35">
      <c r="A1" s="1"/>
      <c r="B1" s="1"/>
      <c r="C1" s="1"/>
      <c r="D1" s="1"/>
      <c r="E1" s="1"/>
      <c r="F1" s="1"/>
    </row>
    <row r="2" spans="1:6" ht="15" thickBot="1" x14ac:dyDescent="0.35">
      <c r="A2" s="1"/>
      <c r="B2" s="2" t="s">
        <v>0</v>
      </c>
      <c r="C2" s="3"/>
      <c r="D2" s="4"/>
      <c r="E2" s="1"/>
      <c r="F2" s="1"/>
    </row>
    <row r="3" spans="1:6" ht="15" thickBot="1" x14ac:dyDescent="0.35">
      <c r="A3" s="1"/>
      <c r="B3" s="1"/>
      <c r="C3" s="1"/>
      <c r="D3" s="1"/>
      <c r="E3" s="1"/>
      <c r="F3" s="1"/>
    </row>
    <row r="4" spans="1:6" x14ac:dyDescent="0.3">
      <c r="A4" s="1"/>
      <c r="B4" s="5" t="s">
        <v>1</v>
      </c>
      <c r="C4" s="6"/>
      <c r="D4" s="7"/>
      <c r="E4" s="1"/>
      <c r="F4" s="1"/>
    </row>
    <row r="5" spans="1:6" x14ac:dyDescent="0.3">
      <c r="A5" s="1"/>
      <c r="B5" s="56" t="s">
        <v>2</v>
      </c>
      <c r="C5" s="57"/>
      <c r="D5" s="8">
        <v>15000</v>
      </c>
      <c r="E5" s="1"/>
      <c r="F5" s="1"/>
    </row>
    <row r="6" spans="1:6" x14ac:dyDescent="0.3">
      <c r="A6" s="1"/>
      <c r="B6" s="48" t="s">
        <v>3</v>
      </c>
      <c r="C6" s="49"/>
      <c r="D6" s="9">
        <v>6.0000000000000001E-3</v>
      </c>
      <c r="E6" s="1"/>
      <c r="F6" s="1"/>
    </row>
    <row r="7" spans="1:6" ht="15" thickBot="1" x14ac:dyDescent="0.35">
      <c r="A7" s="1"/>
      <c r="B7" s="58" t="s">
        <v>4</v>
      </c>
      <c r="C7" s="59"/>
      <c r="D7" s="10">
        <f>D5*30%</f>
        <v>4500</v>
      </c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x14ac:dyDescent="0.3">
      <c r="A9" s="1"/>
      <c r="B9" s="54" t="s">
        <v>5</v>
      </c>
      <c r="C9" s="55"/>
      <c r="D9" s="60"/>
      <c r="E9" s="1"/>
      <c r="F9" s="1"/>
    </row>
    <row r="10" spans="1:6" x14ac:dyDescent="0.3">
      <c r="A10" s="1"/>
      <c r="B10" s="56" t="s">
        <v>6</v>
      </c>
      <c r="C10" s="57"/>
      <c r="D10" s="12">
        <v>1000</v>
      </c>
      <c r="E10" s="1"/>
      <c r="F10" s="1"/>
    </row>
    <row r="11" spans="1:6" x14ac:dyDescent="0.3">
      <c r="A11" s="1"/>
      <c r="B11" s="48" t="s">
        <v>7</v>
      </c>
      <c r="C11" s="49"/>
      <c r="D11" s="13">
        <v>10</v>
      </c>
      <c r="E11" s="1"/>
      <c r="F11" s="1"/>
    </row>
    <row r="12" spans="1:6" x14ac:dyDescent="0.3">
      <c r="A12" s="1"/>
      <c r="B12" s="48" t="s">
        <v>8</v>
      </c>
      <c r="C12" s="49"/>
      <c r="D12" s="14">
        <v>1.0789999999999999E-2</v>
      </c>
      <c r="E12" s="1"/>
      <c r="F12" s="1"/>
    </row>
    <row r="13" spans="1:6" x14ac:dyDescent="0.3">
      <c r="A13" s="1"/>
      <c r="B13" s="50" t="s">
        <v>9</v>
      </c>
      <c r="C13" s="51"/>
      <c r="D13" s="15">
        <f>FV(taxa_mensal,qtd_anos*12,aporte*-1)</f>
        <v>243284.2125301722</v>
      </c>
      <c r="E13" s="1"/>
      <c r="F13" s="1"/>
    </row>
    <row r="14" spans="1:6" ht="15" thickBot="1" x14ac:dyDescent="0.35">
      <c r="A14" s="1"/>
      <c r="B14" s="52" t="s">
        <v>10</v>
      </c>
      <c r="C14" s="53"/>
      <c r="D14" s="16">
        <f>patrimonio*rendimento_carteira</f>
        <v>1459.7052751810331</v>
      </c>
      <c r="E14" s="1"/>
      <c r="F14" s="17"/>
    </row>
    <row r="15" spans="1:6" ht="15" thickBot="1" x14ac:dyDescent="0.35">
      <c r="A15" s="1"/>
      <c r="B15" s="1"/>
      <c r="C15" s="1"/>
      <c r="D15" s="1"/>
      <c r="E15" s="1"/>
      <c r="F15" s="1"/>
    </row>
    <row r="16" spans="1:6" x14ac:dyDescent="0.3">
      <c r="A16" s="1"/>
      <c r="B16" s="54" t="s">
        <v>11</v>
      </c>
      <c r="C16" s="55"/>
      <c r="D16" s="11" t="s">
        <v>12</v>
      </c>
      <c r="E16" s="1"/>
      <c r="F16" s="1"/>
    </row>
    <row r="17" spans="1:6" x14ac:dyDescent="0.3">
      <c r="A17" s="18">
        <v>2</v>
      </c>
      <c r="B17" s="19" t="s">
        <v>13</v>
      </c>
      <c r="C17" s="20">
        <f>FV($D$12,$A17*12,$D$10*-1)</f>
        <v>27227.627297645216</v>
      </c>
      <c r="D17" s="21">
        <f>C17*rendimento_carteira</f>
        <v>163.36576378587131</v>
      </c>
      <c r="E17" s="1"/>
      <c r="F17" s="1"/>
    </row>
    <row r="18" spans="1:6" x14ac:dyDescent="0.3">
      <c r="A18" s="18">
        <v>5</v>
      </c>
      <c r="B18" s="22" t="s">
        <v>14</v>
      </c>
      <c r="C18" s="23">
        <f>FV($D$12,$A18*12,$D$10*-1)</f>
        <v>83776.913998487638</v>
      </c>
      <c r="D18" s="24">
        <f>C18*rendimento_carteira</f>
        <v>502.66148399092583</v>
      </c>
      <c r="E18" s="1"/>
      <c r="F18" s="1"/>
    </row>
    <row r="19" spans="1:6" x14ac:dyDescent="0.3">
      <c r="A19" s="18">
        <v>10</v>
      </c>
      <c r="B19" s="22" t="s">
        <v>15</v>
      </c>
      <c r="C19" s="23">
        <f>FV($D$12,$A19*12,$D$10*-1)</f>
        <v>243284.2125301722</v>
      </c>
      <c r="D19" s="24">
        <f>C19*rendimento_carteira</f>
        <v>1459.7052751810331</v>
      </c>
      <c r="E19" s="1"/>
      <c r="F19" s="1"/>
    </row>
    <row r="20" spans="1:6" x14ac:dyDescent="0.3">
      <c r="A20" s="18">
        <v>20</v>
      </c>
      <c r="B20" s="22" t="s">
        <v>16</v>
      </c>
      <c r="C20" s="23">
        <f>FV($D$12,$A20*12,$D$10*-1)</f>
        <v>1125198.4000970805</v>
      </c>
      <c r="D20" s="24">
        <f>C20*rendimento_carteira</f>
        <v>6751.1904005824836</v>
      </c>
      <c r="E20" s="1"/>
      <c r="F20" s="1"/>
    </row>
    <row r="21" spans="1:6" ht="15" thickBot="1" x14ac:dyDescent="0.35">
      <c r="A21" s="18">
        <v>30</v>
      </c>
      <c r="B21" s="25" t="s">
        <v>17</v>
      </c>
      <c r="C21" s="26">
        <f>FV($D$12,$A21*12,$D$10*-1)</f>
        <v>4322169.6550047146</v>
      </c>
      <c r="D21" s="27">
        <f>C21*rendimento_carteira</f>
        <v>25933.017930028287</v>
      </c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28" t="s">
        <v>18</v>
      </c>
      <c r="C25" s="29" t="s">
        <v>19</v>
      </c>
      <c r="D25" s="28"/>
      <c r="E25" s="1"/>
      <c r="F25" s="1"/>
    </row>
    <row r="26" spans="1:6" x14ac:dyDescent="0.3">
      <c r="A26" s="1"/>
      <c r="B26" s="30" t="s">
        <v>20</v>
      </c>
      <c r="C26" s="31">
        <f>aporte</f>
        <v>1000</v>
      </c>
      <c r="D26" s="30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32" t="s">
        <v>21</v>
      </c>
      <c r="C28" s="32" t="s">
        <v>22</v>
      </c>
      <c r="D28" s="32" t="s">
        <v>23</v>
      </c>
      <c r="E28" s="1"/>
      <c r="F28" s="1"/>
    </row>
    <row r="29" spans="1:6" x14ac:dyDescent="0.3">
      <c r="A29" s="1"/>
      <c r="B29" s="33" t="s">
        <v>24</v>
      </c>
      <c r="C29" s="34">
        <f>VLOOKUP($C$25&amp;"-"&amp;B29,Sheet2!$A:$D,4,FALSE)</f>
        <v>0.3</v>
      </c>
      <c r="D29" s="35">
        <f>C29*$C$26</f>
        <v>300</v>
      </c>
      <c r="E29" s="1"/>
      <c r="F29" s="1"/>
    </row>
    <row r="30" spans="1:6" x14ac:dyDescent="0.3">
      <c r="A30" s="1"/>
      <c r="B30" s="33" t="s">
        <v>25</v>
      </c>
      <c r="C30" s="34">
        <f>VLOOKUP($C$25&amp;"-"&amp;B30,Sheet2!$A:$D,4,FALSE)</f>
        <v>0.5</v>
      </c>
      <c r="D30" s="35">
        <f t="shared" ref="D30:D34" si="0">C30*$C$26</f>
        <v>500</v>
      </c>
      <c r="E30" s="1"/>
      <c r="F30" s="1"/>
    </row>
    <row r="31" spans="1:6" x14ac:dyDescent="0.3">
      <c r="A31" s="1"/>
      <c r="B31" s="33" t="s">
        <v>26</v>
      </c>
      <c r="C31" s="34">
        <f>VLOOKUP($C$25&amp;"-"&amp;B31,Sheet2!$A:$D,4,FALSE)</f>
        <v>0.1</v>
      </c>
      <c r="D31" s="35">
        <f t="shared" si="0"/>
        <v>100</v>
      </c>
      <c r="E31" s="1"/>
      <c r="F31" s="1"/>
    </row>
    <row r="32" spans="1:6" x14ac:dyDescent="0.3">
      <c r="A32" s="1"/>
      <c r="B32" s="33" t="s">
        <v>27</v>
      </c>
      <c r="C32" s="34">
        <f>VLOOKUP($C$25&amp;"-"&amp;B32,Sheet2!$A:$D,4,FALSE)</f>
        <v>0.1</v>
      </c>
      <c r="D32" s="35">
        <f t="shared" si="0"/>
        <v>100</v>
      </c>
      <c r="E32" s="1"/>
      <c r="F32" s="1"/>
    </row>
    <row r="33" spans="1:6" x14ac:dyDescent="0.3">
      <c r="A33" s="1"/>
      <c r="B33" s="33" t="s">
        <v>28</v>
      </c>
      <c r="C33" s="34">
        <f>VLOOKUP($C$25&amp;"-"&amp;B33,Sheet2!$A:$D,4,FALSE)</f>
        <v>0</v>
      </c>
      <c r="D33" s="35">
        <f t="shared" si="0"/>
        <v>0</v>
      </c>
      <c r="E33" s="1"/>
      <c r="F33" s="1"/>
    </row>
    <row r="34" spans="1:6" x14ac:dyDescent="0.3">
      <c r="A34" s="1"/>
      <c r="B34" s="33" t="s">
        <v>29</v>
      </c>
      <c r="C34" s="34">
        <f>VLOOKUP($C$25&amp;"-"&amp;B34,Sheet2!$A:$D,4,FALSE)</f>
        <v>0</v>
      </c>
      <c r="D34" s="35">
        <f t="shared" si="0"/>
        <v>0</v>
      </c>
      <c r="E34" s="1"/>
      <c r="F34" s="1"/>
    </row>
    <row r="35" spans="1:6" x14ac:dyDescent="0.3">
      <c r="A35" s="1"/>
      <c r="B35" s="36"/>
      <c r="C35" s="36"/>
      <c r="D35" s="37">
        <f>SUM(D29:D34)</f>
        <v>1000</v>
      </c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</sheetData>
  <mergeCells count="10">
    <mergeCell ref="B12:C12"/>
    <mergeCell ref="B13:C13"/>
    <mergeCell ref="B14:C14"/>
    <mergeCell ref="B16:C16"/>
    <mergeCell ref="B5:C5"/>
    <mergeCell ref="B6:C6"/>
    <mergeCell ref="B7:C7"/>
    <mergeCell ref="B9:D9"/>
    <mergeCell ref="B10:C10"/>
    <mergeCell ref="B11:C11"/>
  </mergeCells>
  <dataValidations count="1">
    <dataValidation type="list" allowBlank="1" showInputMessage="1" showErrorMessage="1" sqref="C25" xr:uid="{7F9E3BF1-F44F-4DC7-B7AC-367C2CF2E79C}">
      <formula1>"Conservador, Moderado, Agressivo"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D354-5E4F-44D3-BAA7-516746EE1888}">
  <dimension ref="A1:F51"/>
  <sheetViews>
    <sheetView showGridLines="0" workbookViewId="0">
      <selection activeCell="J30" sqref="J30"/>
    </sheetView>
  </sheetViews>
  <sheetFormatPr defaultRowHeight="14.4" x14ac:dyDescent="0.3"/>
  <cols>
    <col min="1" max="1" width="3" bestFit="1" customWidth="1"/>
    <col min="2" max="2" width="33.33203125" bestFit="1" customWidth="1"/>
    <col min="3" max="3" width="19" bestFit="1" customWidth="1"/>
    <col min="4" max="4" width="13.109375" bestFit="1" customWidth="1"/>
  </cols>
  <sheetData>
    <row r="1" spans="1:6" ht="15" thickBot="1" x14ac:dyDescent="0.35">
      <c r="A1" s="1"/>
      <c r="B1" s="1"/>
      <c r="C1" s="1"/>
      <c r="D1" s="1"/>
      <c r="E1" s="1"/>
      <c r="F1" s="1"/>
    </row>
    <row r="2" spans="1:6" ht="15" thickBot="1" x14ac:dyDescent="0.35">
      <c r="A2" s="1"/>
      <c r="B2" s="61" t="s">
        <v>34</v>
      </c>
      <c r="C2" s="62"/>
      <c r="D2" s="63"/>
      <c r="E2" s="1"/>
      <c r="F2" s="1"/>
    </row>
    <row r="3" spans="1:6" ht="15" thickBot="1" x14ac:dyDescent="0.35">
      <c r="A3" s="1"/>
      <c r="B3" s="1"/>
      <c r="C3" s="1"/>
      <c r="D3" s="1"/>
      <c r="E3" s="1"/>
      <c r="F3" s="1"/>
    </row>
    <row r="4" spans="1:6" x14ac:dyDescent="0.3">
      <c r="A4" s="1"/>
      <c r="B4" s="5" t="s">
        <v>1</v>
      </c>
      <c r="C4" s="6"/>
      <c r="D4" s="7"/>
      <c r="E4" s="1"/>
      <c r="F4" s="1"/>
    </row>
    <row r="5" spans="1:6" x14ac:dyDescent="0.3">
      <c r="A5" s="1"/>
      <c r="B5" s="56" t="s">
        <v>2</v>
      </c>
      <c r="C5" s="57"/>
      <c r="D5" s="8">
        <v>15000</v>
      </c>
      <c r="E5" s="1"/>
      <c r="F5" s="1"/>
    </row>
    <row r="6" spans="1:6" x14ac:dyDescent="0.3">
      <c r="A6" s="1"/>
      <c r="B6" s="48" t="s">
        <v>3</v>
      </c>
      <c r="C6" s="49"/>
      <c r="D6" s="9">
        <v>6.0000000000000001E-3</v>
      </c>
      <c r="E6" s="1"/>
      <c r="F6" s="1"/>
    </row>
    <row r="7" spans="1:6" ht="15" thickBot="1" x14ac:dyDescent="0.35">
      <c r="A7" s="1"/>
      <c r="B7" s="58" t="s">
        <v>4</v>
      </c>
      <c r="C7" s="59"/>
      <c r="D7" s="10">
        <f>D5*30%</f>
        <v>4500</v>
      </c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x14ac:dyDescent="0.3">
      <c r="A9" s="1"/>
      <c r="B9" s="54" t="s">
        <v>5</v>
      </c>
      <c r="C9" s="55"/>
      <c r="D9" s="60"/>
      <c r="E9" s="1"/>
      <c r="F9" s="1"/>
    </row>
    <row r="10" spans="1:6" x14ac:dyDescent="0.3">
      <c r="A10" s="1"/>
      <c r="B10" s="56" t="s">
        <v>6</v>
      </c>
      <c r="C10" s="57"/>
      <c r="D10" s="12">
        <v>1000</v>
      </c>
      <c r="E10" s="1"/>
      <c r="F10" s="1"/>
    </row>
    <row r="11" spans="1:6" x14ac:dyDescent="0.3">
      <c r="A11" s="1"/>
      <c r="B11" s="48" t="s">
        <v>7</v>
      </c>
      <c r="C11" s="49"/>
      <c r="D11" s="13">
        <v>10</v>
      </c>
      <c r="E11" s="1"/>
      <c r="F11" s="1"/>
    </row>
    <row r="12" spans="1:6" x14ac:dyDescent="0.3">
      <c r="A12" s="1"/>
      <c r="B12" s="48" t="s">
        <v>8</v>
      </c>
      <c r="C12" s="49"/>
      <c r="D12" s="14">
        <v>1.0789999999999999E-2</v>
      </c>
      <c r="E12" s="1"/>
      <c r="F12" s="1"/>
    </row>
    <row r="13" spans="1:6" x14ac:dyDescent="0.3">
      <c r="A13" s="1"/>
      <c r="B13" s="50" t="s">
        <v>9</v>
      </c>
      <c r="C13" s="51"/>
      <c r="D13" s="15">
        <f>FV(taxa_mensal,qtd_anos*12,aporte*-1)</f>
        <v>243284.2125301722</v>
      </c>
      <c r="E13" s="1"/>
      <c r="F13" s="1"/>
    </row>
    <row r="14" spans="1:6" ht="15" thickBot="1" x14ac:dyDescent="0.35">
      <c r="A14" s="1"/>
      <c r="B14" s="52" t="s">
        <v>10</v>
      </c>
      <c r="C14" s="53"/>
      <c r="D14" s="16">
        <f>patrimonio*rendimento_carteira</f>
        <v>1459.7052751810331</v>
      </c>
      <c r="E14" s="1"/>
      <c r="F14" s="17"/>
    </row>
    <row r="15" spans="1:6" ht="15" thickBot="1" x14ac:dyDescent="0.35">
      <c r="A15" s="1"/>
      <c r="B15" s="1"/>
      <c r="C15" s="1"/>
      <c r="D15" s="1"/>
      <c r="E15" s="1"/>
      <c r="F15" s="1"/>
    </row>
    <row r="16" spans="1:6" x14ac:dyDescent="0.3">
      <c r="A16" s="1"/>
      <c r="B16" s="54" t="s">
        <v>11</v>
      </c>
      <c r="C16" s="55"/>
      <c r="D16" s="11" t="s">
        <v>12</v>
      </c>
      <c r="E16" s="1"/>
      <c r="F16" s="1"/>
    </row>
    <row r="17" spans="1:6" x14ac:dyDescent="0.3">
      <c r="A17" s="18">
        <v>2</v>
      </c>
      <c r="B17" s="19" t="s">
        <v>13</v>
      </c>
      <c r="C17" s="20">
        <f>FV($D$12,$A17*12,$D$10*-1)</f>
        <v>27227.627297645216</v>
      </c>
      <c r="D17" s="21">
        <f>C17*rendimento_carteira</f>
        <v>163.36576378587131</v>
      </c>
      <c r="E17" s="1"/>
      <c r="F17" s="1"/>
    </row>
    <row r="18" spans="1:6" x14ac:dyDescent="0.3">
      <c r="A18" s="18">
        <v>5</v>
      </c>
      <c r="B18" s="22" t="s">
        <v>14</v>
      </c>
      <c r="C18" s="23">
        <f>FV($D$12,$A18*12,$D$10*-1)</f>
        <v>83776.913998487638</v>
      </c>
      <c r="D18" s="24">
        <f>C18*rendimento_carteira</f>
        <v>502.66148399092583</v>
      </c>
      <c r="E18" s="1"/>
      <c r="F18" s="1"/>
    </row>
    <row r="19" spans="1:6" x14ac:dyDescent="0.3">
      <c r="A19" s="18">
        <v>10</v>
      </c>
      <c r="B19" s="22" t="s">
        <v>15</v>
      </c>
      <c r="C19" s="23">
        <f>FV($D$12,$A19*12,$D$10*-1)</f>
        <v>243284.2125301722</v>
      </c>
      <c r="D19" s="24">
        <f>C19*rendimento_carteira</f>
        <v>1459.7052751810331</v>
      </c>
      <c r="E19" s="1"/>
      <c r="F19" s="1"/>
    </row>
    <row r="20" spans="1:6" x14ac:dyDescent="0.3">
      <c r="A20" s="18">
        <v>20</v>
      </c>
      <c r="B20" s="22" t="s">
        <v>16</v>
      </c>
      <c r="C20" s="23">
        <f>FV($D$12,$A20*12,$D$10*-1)</f>
        <v>1125198.4000970805</v>
      </c>
      <c r="D20" s="24">
        <f>C20*rendimento_carteira</f>
        <v>6751.1904005824836</v>
      </c>
      <c r="E20" s="1"/>
      <c r="F20" s="1"/>
    </row>
    <row r="21" spans="1:6" ht="15" thickBot="1" x14ac:dyDescent="0.35">
      <c r="A21" s="18">
        <v>30</v>
      </c>
      <c r="B21" s="25" t="s">
        <v>17</v>
      </c>
      <c r="C21" s="26">
        <f>FV($D$12,$A21*12,$D$10*-1)</f>
        <v>4322169.6550047146</v>
      </c>
      <c r="D21" s="27">
        <f>C21*rendimento_carteira</f>
        <v>25933.017930028287</v>
      </c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28" t="s">
        <v>18</v>
      </c>
      <c r="C25" s="29" t="s">
        <v>19</v>
      </c>
      <c r="D25" s="28"/>
      <c r="E25" s="1"/>
      <c r="F25" s="1"/>
    </row>
    <row r="26" spans="1:6" x14ac:dyDescent="0.3">
      <c r="A26" s="1"/>
      <c r="B26" s="30" t="s">
        <v>20</v>
      </c>
      <c r="C26" s="31">
        <f>aporte</f>
        <v>1000</v>
      </c>
      <c r="D26" s="30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32" t="s">
        <v>21</v>
      </c>
      <c r="C28" s="32" t="s">
        <v>22</v>
      </c>
      <c r="D28" s="32" t="s">
        <v>23</v>
      </c>
      <c r="E28" s="1"/>
      <c r="F28" s="1"/>
    </row>
    <row r="29" spans="1:6" x14ac:dyDescent="0.3">
      <c r="A29" s="1"/>
      <c r="B29" s="33" t="s">
        <v>24</v>
      </c>
      <c r="C29" s="34">
        <f>VLOOKUP($C$25&amp;"-"&amp;B29,Sheet2!$A:$D,4,FALSE)</f>
        <v>0.3</v>
      </c>
      <c r="D29" s="35">
        <f>C29*$C$26</f>
        <v>300</v>
      </c>
      <c r="E29" s="1"/>
      <c r="F29" s="1"/>
    </row>
    <row r="30" spans="1:6" x14ac:dyDescent="0.3">
      <c r="A30" s="1"/>
      <c r="B30" s="33" t="s">
        <v>25</v>
      </c>
      <c r="C30" s="34">
        <f>VLOOKUP($C$25&amp;"-"&amp;B30,Sheet2!$A:$D,4,FALSE)</f>
        <v>0.5</v>
      </c>
      <c r="D30" s="35">
        <f t="shared" ref="D30:D34" si="0">C30*$C$26</f>
        <v>500</v>
      </c>
      <c r="E30" s="1"/>
      <c r="F30" s="1"/>
    </row>
    <row r="31" spans="1:6" x14ac:dyDescent="0.3">
      <c r="A31" s="1"/>
      <c r="B31" s="33" t="s">
        <v>26</v>
      </c>
      <c r="C31" s="34">
        <f>VLOOKUP($C$25&amp;"-"&amp;B31,Sheet2!$A:$D,4,FALSE)</f>
        <v>0.1</v>
      </c>
      <c r="D31" s="35">
        <f t="shared" si="0"/>
        <v>100</v>
      </c>
      <c r="E31" s="1"/>
      <c r="F31" s="1"/>
    </row>
    <row r="32" spans="1:6" x14ac:dyDescent="0.3">
      <c r="A32" s="1"/>
      <c r="B32" s="33" t="s">
        <v>27</v>
      </c>
      <c r="C32" s="34">
        <f>VLOOKUP($C$25&amp;"-"&amp;B32,Sheet2!$A:$D,4,FALSE)</f>
        <v>0.1</v>
      </c>
      <c r="D32" s="35">
        <f t="shared" si="0"/>
        <v>100</v>
      </c>
      <c r="E32" s="1"/>
      <c r="F32" s="1"/>
    </row>
    <row r="33" spans="1:6" x14ac:dyDescent="0.3">
      <c r="A33" s="1"/>
      <c r="B33" s="33" t="s">
        <v>28</v>
      </c>
      <c r="C33" s="34">
        <f>VLOOKUP($C$25&amp;"-"&amp;B33,Sheet2!$A:$D,4,FALSE)</f>
        <v>0</v>
      </c>
      <c r="D33" s="35">
        <f t="shared" si="0"/>
        <v>0</v>
      </c>
      <c r="E33" s="1"/>
      <c r="F33" s="1"/>
    </row>
    <row r="34" spans="1:6" x14ac:dyDescent="0.3">
      <c r="A34" s="1"/>
      <c r="B34" s="33" t="s">
        <v>29</v>
      </c>
      <c r="C34" s="34">
        <f>VLOOKUP($C$25&amp;"-"&amp;B34,Sheet2!$A:$D,4,FALSE)</f>
        <v>0</v>
      </c>
      <c r="D34" s="35">
        <f t="shared" si="0"/>
        <v>0</v>
      </c>
      <c r="E34" s="1"/>
      <c r="F34" s="1"/>
    </row>
    <row r="35" spans="1:6" x14ac:dyDescent="0.3">
      <c r="A35" s="1"/>
      <c r="B35" s="36"/>
      <c r="C35" s="36"/>
      <c r="D35" s="37">
        <f>SUM(D29:D34)</f>
        <v>1000</v>
      </c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</sheetData>
  <mergeCells count="10">
    <mergeCell ref="B12:C12"/>
    <mergeCell ref="B13:C13"/>
    <mergeCell ref="B14:C14"/>
    <mergeCell ref="B16:C16"/>
    <mergeCell ref="B5:C5"/>
    <mergeCell ref="B6:C6"/>
    <mergeCell ref="B7:C7"/>
    <mergeCell ref="B9:D9"/>
    <mergeCell ref="B10:C10"/>
    <mergeCell ref="B11:C11"/>
  </mergeCells>
  <dataValidations count="1">
    <dataValidation type="list" allowBlank="1" showInputMessage="1" showErrorMessage="1" sqref="C25" xr:uid="{27C1B8A1-FC26-4464-ADDD-C899351DD199}">
      <formula1>"Conservador, Moderado, Agressivo"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9EFB-90C7-4536-B2AB-6E88CEDE9914}">
  <dimension ref="A1:F51"/>
  <sheetViews>
    <sheetView showGridLines="0" workbookViewId="0">
      <selection activeCell="D31" sqref="D31"/>
    </sheetView>
  </sheetViews>
  <sheetFormatPr defaultRowHeight="14.4" x14ac:dyDescent="0.3"/>
  <cols>
    <col min="1" max="1" width="3" bestFit="1" customWidth="1"/>
    <col min="2" max="2" width="33.33203125" bestFit="1" customWidth="1"/>
    <col min="3" max="3" width="19" bestFit="1" customWidth="1"/>
    <col min="4" max="4" width="13.109375" bestFit="1" customWidth="1"/>
  </cols>
  <sheetData>
    <row r="1" spans="1:6" ht="15" thickBot="1" x14ac:dyDescent="0.35">
      <c r="A1" s="1"/>
      <c r="B1" s="1"/>
      <c r="C1" s="1"/>
      <c r="D1" s="1"/>
      <c r="E1" s="1"/>
      <c r="F1" s="1"/>
    </row>
    <row r="2" spans="1:6" ht="15" thickBot="1" x14ac:dyDescent="0.35">
      <c r="A2" s="1"/>
      <c r="B2" s="64" t="s">
        <v>35</v>
      </c>
      <c r="C2" s="65"/>
      <c r="D2" s="66"/>
      <c r="E2" s="1"/>
      <c r="F2" s="1"/>
    </row>
    <row r="3" spans="1:6" ht="15" thickBot="1" x14ac:dyDescent="0.35">
      <c r="A3" s="1"/>
      <c r="B3" s="1"/>
      <c r="C3" s="1"/>
      <c r="D3" s="1"/>
      <c r="E3" s="1"/>
      <c r="F3" s="1"/>
    </row>
    <row r="4" spans="1:6" x14ac:dyDescent="0.3">
      <c r="A4" s="1"/>
      <c r="B4" s="5" t="s">
        <v>1</v>
      </c>
      <c r="C4" s="6"/>
      <c r="D4" s="7"/>
      <c r="E4" s="1"/>
      <c r="F4" s="1"/>
    </row>
    <row r="5" spans="1:6" x14ac:dyDescent="0.3">
      <c r="A5" s="1"/>
      <c r="B5" s="56" t="s">
        <v>2</v>
      </c>
      <c r="C5" s="57"/>
      <c r="D5" s="8">
        <v>15000</v>
      </c>
      <c r="E5" s="1"/>
      <c r="F5" s="1"/>
    </row>
    <row r="6" spans="1:6" x14ac:dyDescent="0.3">
      <c r="A6" s="1"/>
      <c r="B6" s="48" t="s">
        <v>3</v>
      </c>
      <c r="C6" s="49"/>
      <c r="D6" s="9">
        <v>6.0000000000000001E-3</v>
      </c>
      <c r="E6" s="1"/>
      <c r="F6" s="1"/>
    </row>
    <row r="7" spans="1:6" ht="15" thickBot="1" x14ac:dyDescent="0.35">
      <c r="A7" s="1"/>
      <c r="B7" s="58" t="s">
        <v>4</v>
      </c>
      <c r="C7" s="59"/>
      <c r="D7" s="10">
        <f>D5*30%</f>
        <v>4500</v>
      </c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x14ac:dyDescent="0.3">
      <c r="A9" s="1"/>
      <c r="B9" s="54" t="s">
        <v>5</v>
      </c>
      <c r="C9" s="55"/>
      <c r="D9" s="60"/>
      <c r="E9" s="1"/>
      <c r="F9" s="1"/>
    </row>
    <row r="10" spans="1:6" x14ac:dyDescent="0.3">
      <c r="A10" s="1"/>
      <c r="B10" s="56" t="s">
        <v>6</v>
      </c>
      <c r="C10" s="57"/>
      <c r="D10" s="12">
        <v>1000</v>
      </c>
      <c r="E10" s="1"/>
      <c r="F10" s="1"/>
    </row>
    <row r="11" spans="1:6" x14ac:dyDescent="0.3">
      <c r="A11" s="1"/>
      <c r="B11" s="48" t="s">
        <v>7</v>
      </c>
      <c r="C11" s="49"/>
      <c r="D11" s="13">
        <v>10</v>
      </c>
      <c r="E11" s="1"/>
      <c r="F11" s="1"/>
    </row>
    <row r="12" spans="1:6" x14ac:dyDescent="0.3">
      <c r="A12" s="1"/>
      <c r="B12" s="48" t="s">
        <v>8</v>
      </c>
      <c r="C12" s="49"/>
      <c r="D12" s="14">
        <v>1.0789999999999999E-2</v>
      </c>
      <c r="E12" s="1"/>
      <c r="F12" s="1"/>
    </row>
    <row r="13" spans="1:6" x14ac:dyDescent="0.3">
      <c r="A13" s="1"/>
      <c r="B13" s="50" t="s">
        <v>9</v>
      </c>
      <c r="C13" s="51"/>
      <c r="D13" s="15">
        <f>FV(taxa_mensal,qtd_anos*12,aporte*-1)</f>
        <v>243284.2125301722</v>
      </c>
      <c r="E13" s="1"/>
      <c r="F13" s="1"/>
    </row>
    <row r="14" spans="1:6" ht="15" thickBot="1" x14ac:dyDescent="0.35">
      <c r="A14" s="1"/>
      <c r="B14" s="52" t="s">
        <v>10</v>
      </c>
      <c r="C14" s="53"/>
      <c r="D14" s="16">
        <f>patrimonio*rendimento_carteira</f>
        <v>1459.7052751810331</v>
      </c>
      <c r="E14" s="1"/>
      <c r="F14" s="17"/>
    </row>
    <row r="15" spans="1:6" ht="15" thickBot="1" x14ac:dyDescent="0.35">
      <c r="A15" s="1"/>
      <c r="B15" s="1"/>
      <c r="C15" s="1"/>
      <c r="D15" s="1"/>
      <c r="E15" s="1"/>
      <c r="F15" s="1"/>
    </row>
    <row r="16" spans="1:6" x14ac:dyDescent="0.3">
      <c r="A16" s="1"/>
      <c r="B16" s="54" t="s">
        <v>11</v>
      </c>
      <c r="C16" s="55"/>
      <c r="D16" s="11" t="s">
        <v>12</v>
      </c>
      <c r="E16" s="1"/>
      <c r="F16" s="1"/>
    </row>
    <row r="17" spans="1:6" x14ac:dyDescent="0.3">
      <c r="A17" s="18">
        <v>2</v>
      </c>
      <c r="B17" s="19" t="s">
        <v>13</v>
      </c>
      <c r="C17" s="20">
        <f>FV($D$12,$A17*12,$D$10*-1)</f>
        <v>27227.627297645216</v>
      </c>
      <c r="D17" s="21">
        <f>C17*rendimento_carteira</f>
        <v>163.36576378587131</v>
      </c>
      <c r="E17" s="1"/>
      <c r="F17" s="1"/>
    </row>
    <row r="18" spans="1:6" x14ac:dyDescent="0.3">
      <c r="A18" s="18">
        <v>5</v>
      </c>
      <c r="B18" s="22" t="s">
        <v>14</v>
      </c>
      <c r="C18" s="23">
        <f>FV($D$12,$A18*12,$D$10*-1)</f>
        <v>83776.913998487638</v>
      </c>
      <c r="D18" s="24">
        <f>C18*rendimento_carteira</f>
        <v>502.66148399092583</v>
      </c>
      <c r="E18" s="1"/>
      <c r="F18" s="1"/>
    </row>
    <row r="19" spans="1:6" x14ac:dyDescent="0.3">
      <c r="A19" s="18">
        <v>10</v>
      </c>
      <c r="B19" s="22" t="s">
        <v>15</v>
      </c>
      <c r="C19" s="23">
        <f>FV($D$12,$A19*12,$D$10*-1)</f>
        <v>243284.2125301722</v>
      </c>
      <c r="D19" s="24">
        <f>C19*rendimento_carteira</f>
        <v>1459.7052751810331</v>
      </c>
      <c r="E19" s="1"/>
      <c r="F19" s="1"/>
    </row>
    <row r="20" spans="1:6" x14ac:dyDescent="0.3">
      <c r="A20" s="18">
        <v>20</v>
      </c>
      <c r="B20" s="22" t="s">
        <v>16</v>
      </c>
      <c r="C20" s="23">
        <f>FV($D$12,$A20*12,$D$10*-1)</f>
        <v>1125198.4000970805</v>
      </c>
      <c r="D20" s="24">
        <f>C20*rendimento_carteira</f>
        <v>6751.1904005824836</v>
      </c>
      <c r="E20" s="1"/>
      <c r="F20" s="1"/>
    </row>
    <row r="21" spans="1:6" ht="15" thickBot="1" x14ac:dyDescent="0.35">
      <c r="A21" s="18">
        <v>30</v>
      </c>
      <c r="B21" s="25" t="s">
        <v>17</v>
      </c>
      <c r="C21" s="26">
        <f>FV($D$12,$A21*12,$D$10*-1)</f>
        <v>4322169.6550047146</v>
      </c>
      <c r="D21" s="27">
        <f>C21*rendimento_carteira</f>
        <v>25933.017930028287</v>
      </c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28" t="s">
        <v>18</v>
      </c>
      <c r="C25" s="29" t="s">
        <v>33</v>
      </c>
      <c r="D25" s="28"/>
      <c r="E25" s="1"/>
      <c r="F25" s="1"/>
    </row>
    <row r="26" spans="1:6" x14ac:dyDescent="0.3">
      <c r="A26" s="1"/>
      <c r="B26" s="30" t="s">
        <v>20</v>
      </c>
      <c r="C26" s="31">
        <f>aporte</f>
        <v>1000</v>
      </c>
      <c r="D26" s="30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32" t="s">
        <v>21</v>
      </c>
      <c r="C28" s="32" t="s">
        <v>22</v>
      </c>
      <c r="D28" s="32" t="s">
        <v>23</v>
      </c>
      <c r="E28" s="1"/>
      <c r="F28" s="1"/>
    </row>
    <row r="29" spans="1:6" x14ac:dyDescent="0.3">
      <c r="A29" s="1"/>
      <c r="B29" s="33" t="s">
        <v>24</v>
      </c>
      <c r="C29" s="34">
        <f>VLOOKUP($C$25&amp;"-"&amp;B29,Sheet2!$A:$D,4,FALSE)</f>
        <v>0.5</v>
      </c>
      <c r="D29" s="35">
        <f>C29*$C$26</f>
        <v>500</v>
      </c>
      <c r="E29" s="1"/>
      <c r="F29" s="1"/>
    </row>
    <row r="30" spans="1:6" x14ac:dyDescent="0.3">
      <c r="A30" s="1"/>
      <c r="B30" s="33" t="s">
        <v>25</v>
      </c>
      <c r="C30" s="34">
        <f>VLOOKUP($C$25&amp;"-"&amp;B30,Sheet2!$A:$D,4,FALSE)</f>
        <v>0.1</v>
      </c>
      <c r="D30" s="35">
        <f t="shared" ref="D30:D34" si="0">C30*$C$26</f>
        <v>100</v>
      </c>
      <c r="E30" s="1"/>
      <c r="F30" s="1"/>
    </row>
    <row r="31" spans="1:6" x14ac:dyDescent="0.3">
      <c r="A31" s="1"/>
      <c r="B31" s="33" t="s">
        <v>26</v>
      </c>
      <c r="C31" s="34">
        <f>VLOOKUP($C$25&amp;"-"&amp;B31,Sheet2!$A:$D,4,FALSE)</f>
        <v>0.05</v>
      </c>
      <c r="D31" s="35">
        <f t="shared" si="0"/>
        <v>50</v>
      </c>
      <c r="E31" s="1"/>
      <c r="F31" s="1"/>
    </row>
    <row r="32" spans="1:6" x14ac:dyDescent="0.3">
      <c r="A32" s="1"/>
      <c r="B32" s="33" t="s">
        <v>27</v>
      </c>
      <c r="C32" s="34">
        <f>VLOOKUP($C$25&amp;"-"&amp;B32,Sheet2!$A:$D,4,FALSE)</f>
        <v>0.05</v>
      </c>
      <c r="D32" s="35">
        <f t="shared" si="0"/>
        <v>50</v>
      </c>
      <c r="E32" s="1"/>
      <c r="F32" s="1"/>
    </row>
    <row r="33" spans="1:6" x14ac:dyDescent="0.3">
      <c r="A33" s="1"/>
      <c r="B33" s="33" t="s">
        <v>28</v>
      </c>
      <c r="C33" s="34">
        <f>VLOOKUP($C$25&amp;"-"&amp;B33,Sheet2!$A:$D,4,FALSE)</f>
        <v>0.2</v>
      </c>
      <c r="D33" s="35">
        <f t="shared" si="0"/>
        <v>200</v>
      </c>
      <c r="E33" s="1"/>
      <c r="F33" s="1"/>
    </row>
    <row r="34" spans="1:6" x14ac:dyDescent="0.3">
      <c r="A34" s="1"/>
      <c r="B34" s="33" t="s">
        <v>29</v>
      </c>
      <c r="C34" s="34">
        <f>VLOOKUP($C$25&amp;"-"&amp;B34,Sheet2!$A:$D,4,FALSE)</f>
        <v>0.1</v>
      </c>
      <c r="D34" s="35">
        <f t="shared" si="0"/>
        <v>100</v>
      </c>
      <c r="E34" s="1"/>
      <c r="F34" s="1"/>
    </row>
    <row r="35" spans="1:6" x14ac:dyDescent="0.3">
      <c r="A35" s="1"/>
      <c r="B35" s="36"/>
      <c r="C35" s="36"/>
      <c r="D35" s="37">
        <f>SUM(D29:D34)</f>
        <v>1000</v>
      </c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</sheetData>
  <mergeCells count="10">
    <mergeCell ref="B12:C12"/>
    <mergeCell ref="B13:C13"/>
    <mergeCell ref="B14:C14"/>
    <mergeCell ref="B16:C16"/>
    <mergeCell ref="B5:C5"/>
    <mergeCell ref="B6:C6"/>
    <mergeCell ref="B7:C7"/>
    <mergeCell ref="B9:D9"/>
    <mergeCell ref="B10:C10"/>
    <mergeCell ref="B11:C11"/>
  </mergeCells>
  <dataValidations count="1">
    <dataValidation type="list" allowBlank="1" showInputMessage="1" showErrorMessage="1" sqref="C25" xr:uid="{788BBBEB-E0C1-46F8-9639-CA6B4C7EB844}">
      <formula1>"Conservador, Moderado, Agressivo"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D3BB-07BE-4674-A639-9479604B338A}">
  <dimension ref="A2:H20"/>
  <sheetViews>
    <sheetView showGridLines="0" workbookViewId="0">
      <selection activeCell="F2" sqref="F2"/>
    </sheetView>
  </sheetViews>
  <sheetFormatPr defaultRowHeight="13.2" x14ac:dyDescent="0.25"/>
  <cols>
    <col min="1" max="1" width="30.33203125" style="1" bestFit="1" customWidth="1"/>
    <col min="2" max="2" width="11.33203125" style="1" bestFit="1" customWidth="1"/>
    <col min="3" max="3" width="19" style="1" bestFit="1" customWidth="1"/>
    <col min="4" max="4" width="4.6640625" style="1" bestFit="1" customWidth="1"/>
    <col min="5" max="6" width="8.88671875" style="1"/>
    <col min="7" max="7" width="18.44140625" style="1" bestFit="1" customWidth="1"/>
    <col min="8" max="8" width="4.6640625" style="1" bestFit="1" customWidth="1"/>
    <col min="9" max="16384" width="8.88671875" style="1"/>
  </cols>
  <sheetData>
    <row r="2" spans="1:8" x14ac:dyDescent="0.25">
      <c r="A2" s="46" t="s">
        <v>30</v>
      </c>
      <c r="B2" s="46" t="s">
        <v>18</v>
      </c>
      <c r="C2" s="47" t="s">
        <v>21</v>
      </c>
      <c r="D2" s="47" t="s">
        <v>31</v>
      </c>
    </row>
    <row r="3" spans="1:8" x14ac:dyDescent="0.25">
      <c r="A3" s="1" t="str">
        <f>B3&amp;"-"&amp;C3</f>
        <v>Conservador-PAPEL</v>
      </c>
      <c r="B3" s="1" t="s">
        <v>19</v>
      </c>
      <c r="C3" s="33" t="s">
        <v>24</v>
      </c>
      <c r="D3" s="34">
        <v>0.3</v>
      </c>
      <c r="H3" s="1" t="s">
        <v>31</v>
      </c>
    </row>
    <row r="4" spans="1:8" x14ac:dyDescent="0.25">
      <c r="A4" s="1" t="str">
        <f t="shared" ref="A4:A20" si="0">B4&amp;"-"&amp;C4</f>
        <v>Conservador-TIJOLO</v>
      </c>
      <c r="B4" s="1" t="s">
        <v>19</v>
      </c>
      <c r="C4" s="33" t="s">
        <v>25</v>
      </c>
      <c r="D4" s="34">
        <v>0.5</v>
      </c>
      <c r="G4" s="38" t="str">
        <f>A4</f>
        <v>Conservador-TIJOLO</v>
      </c>
      <c r="H4" s="39">
        <f>VLOOKUP(G4,$A:$D,4,FALSE)</f>
        <v>0.5</v>
      </c>
    </row>
    <row r="5" spans="1:8" x14ac:dyDescent="0.25">
      <c r="A5" s="1" t="str">
        <f t="shared" si="0"/>
        <v>Conservador-HÍBRIDOS</v>
      </c>
      <c r="B5" s="1" t="s">
        <v>19</v>
      </c>
      <c r="C5" s="33" t="s">
        <v>26</v>
      </c>
      <c r="D5" s="34">
        <v>0.1</v>
      </c>
    </row>
    <row r="6" spans="1:8" x14ac:dyDescent="0.25">
      <c r="A6" s="1" t="str">
        <f t="shared" si="0"/>
        <v>Conservador-FOFs</v>
      </c>
      <c r="B6" s="1" t="s">
        <v>19</v>
      </c>
      <c r="C6" s="33" t="s">
        <v>27</v>
      </c>
      <c r="D6" s="34">
        <v>0.1</v>
      </c>
    </row>
    <row r="7" spans="1:8" x14ac:dyDescent="0.25">
      <c r="A7" s="1" t="str">
        <f t="shared" si="0"/>
        <v>Conservador-DESENVOLVIMENTO</v>
      </c>
      <c r="B7" s="1" t="s">
        <v>19</v>
      </c>
      <c r="C7" s="33" t="s">
        <v>28</v>
      </c>
      <c r="D7" s="34">
        <v>0</v>
      </c>
    </row>
    <row r="8" spans="1:8" ht="13.8" thickBot="1" x14ac:dyDescent="0.3">
      <c r="A8" s="40" t="str">
        <f t="shared" si="0"/>
        <v>Conservador-HOTELARIAS</v>
      </c>
      <c r="B8" s="40" t="s">
        <v>19</v>
      </c>
      <c r="C8" s="41" t="s">
        <v>29</v>
      </c>
      <c r="D8" s="42">
        <v>0</v>
      </c>
    </row>
    <row r="9" spans="1:8" x14ac:dyDescent="0.25">
      <c r="A9" s="1" t="str">
        <f t="shared" si="0"/>
        <v>Moderado-PAPEL</v>
      </c>
      <c r="B9" s="1" t="s">
        <v>32</v>
      </c>
      <c r="C9" s="33" t="s">
        <v>24</v>
      </c>
      <c r="D9" s="34">
        <v>0.32</v>
      </c>
    </row>
    <row r="10" spans="1:8" x14ac:dyDescent="0.25">
      <c r="A10" s="43" t="str">
        <f t="shared" si="0"/>
        <v>Moderado-TIJOLO</v>
      </c>
      <c r="B10" s="43" t="s">
        <v>32</v>
      </c>
      <c r="C10" s="44" t="s">
        <v>25</v>
      </c>
      <c r="D10" s="45">
        <v>0.35</v>
      </c>
    </row>
    <row r="11" spans="1:8" x14ac:dyDescent="0.25">
      <c r="A11" s="1" t="str">
        <f t="shared" si="0"/>
        <v>Moderado-HÍBRIDOS</v>
      </c>
      <c r="B11" s="1" t="s">
        <v>32</v>
      </c>
      <c r="C11" s="33" t="s">
        <v>26</v>
      </c>
      <c r="D11" s="34">
        <v>0.08</v>
      </c>
    </row>
    <row r="12" spans="1:8" x14ac:dyDescent="0.25">
      <c r="A12" s="1" t="str">
        <f t="shared" si="0"/>
        <v>Moderado-FOFs</v>
      </c>
      <c r="B12" s="1" t="s">
        <v>32</v>
      </c>
      <c r="C12" s="33" t="s">
        <v>27</v>
      </c>
      <c r="D12" s="34">
        <v>0.05</v>
      </c>
    </row>
    <row r="13" spans="1:8" x14ac:dyDescent="0.25">
      <c r="A13" s="1" t="str">
        <f t="shared" si="0"/>
        <v>Moderado-DESENVOLVIMENTO</v>
      </c>
      <c r="B13" s="1" t="s">
        <v>32</v>
      </c>
      <c r="C13" s="33" t="s">
        <v>28</v>
      </c>
      <c r="D13" s="34">
        <v>0.1</v>
      </c>
    </row>
    <row r="14" spans="1:8" ht="13.8" thickBot="1" x14ac:dyDescent="0.3">
      <c r="A14" s="40" t="str">
        <f t="shared" si="0"/>
        <v>Moderado-HOTELARIAS</v>
      </c>
      <c r="B14" s="40" t="s">
        <v>32</v>
      </c>
      <c r="C14" s="41" t="s">
        <v>29</v>
      </c>
      <c r="D14" s="42">
        <v>0.1</v>
      </c>
    </row>
    <row r="15" spans="1:8" x14ac:dyDescent="0.25">
      <c r="A15" s="1" t="str">
        <f t="shared" si="0"/>
        <v>Agressivo-PAPEL</v>
      </c>
      <c r="B15" s="1" t="s">
        <v>33</v>
      </c>
      <c r="C15" s="33" t="s">
        <v>24</v>
      </c>
      <c r="D15" s="34">
        <v>0.5</v>
      </c>
    </row>
    <row r="16" spans="1:8" x14ac:dyDescent="0.25">
      <c r="A16" s="1" t="str">
        <f t="shared" si="0"/>
        <v>Agressivo-TIJOLO</v>
      </c>
      <c r="B16" s="1" t="s">
        <v>33</v>
      </c>
      <c r="C16" s="33" t="s">
        <v>25</v>
      </c>
      <c r="D16" s="34">
        <v>0.1</v>
      </c>
    </row>
    <row r="17" spans="1:4" x14ac:dyDescent="0.25">
      <c r="A17" s="1" t="str">
        <f t="shared" si="0"/>
        <v>Agressivo-HÍBRIDOS</v>
      </c>
      <c r="B17" s="1" t="s">
        <v>33</v>
      </c>
      <c r="C17" s="33" t="s">
        <v>26</v>
      </c>
      <c r="D17" s="34">
        <v>0.05</v>
      </c>
    </row>
    <row r="18" spans="1:4" x14ac:dyDescent="0.25">
      <c r="A18" s="1" t="str">
        <f t="shared" si="0"/>
        <v>Agressivo-FOFs</v>
      </c>
      <c r="B18" s="1" t="s">
        <v>33</v>
      </c>
      <c r="C18" s="33" t="s">
        <v>27</v>
      </c>
      <c r="D18" s="34">
        <v>0.05</v>
      </c>
    </row>
    <row r="19" spans="1:4" x14ac:dyDescent="0.25">
      <c r="A19" s="1" t="str">
        <f t="shared" si="0"/>
        <v>Agressivo-DESENVOLVIMENTO</v>
      </c>
      <c r="B19" s="1" t="s">
        <v>33</v>
      </c>
      <c r="C19" s="33" t="s">
        <v>28</v>
      </c>
      <c r="D19" s="34">
        <v>0.2</v>
      </c>
    </row>
    <row r="20" spans="1:4" x14ac:dyDescent="0.25">
      <c r="A20" s="1" t="str">
        <f t="shared" si="0"/>
        <v>Agressivo-HOTELARIAS</v>
      </c>
      <c r="B20" s="1" t="s">
        <v>33</v>
      </c>
      <c r="C20" s="33" t="s">
        <v>29</v>
      </c>
      <c r="D20" s="34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8FD5-A11C-4A83-8304-D4FD34D95258}">
  <dimension ref="A1:D29"/>
  <sheetViews>
    <sheetView tabSelected="1" workbookViewId="0">
      <selection activeCell="B13" sqref="B13"/>
    </sheetView>
  </sheetViews>
  <sheetFormatPr defaultRowHeight="14.4" x14ac:dyDescent="0.3"/>
  <cols>
    <col min="1" max="1" width="40.77734375" customWidth="1"/>
    <col min="2" max="2" width="33.33203125" customWidth="1"/>
    <col min="3" max="3" width="35.21875" customWidth="1"/>
    <col min="4" max="4" width="48.109375" customWidth="1"/>
  </cols>
  <sheetData>
    <row r="1" spans="1:4" ht="21" x14ac:dyDescent="0.3">
      <c r="A1" s="67" t="s">
        <v>36</v>
      </c>
      <c r="B1" s="67"/>
      <c r="C1" s="67"/>
      <c r="D1" s="67"/>
    </row>
    <row r="2" spans="1:4" x14ac:dyDescent="0.3">
      <c r="A2" s="68" t="s">
        <v>37</v>
      </c>
      <c r="B2" s="68" t="s">
        <v>38</v>
      </c>
      <c r="C2" s="68" t="s">
        <v>39</v>
      </c>
      <c r="D2" s="68" t="s">
        <v>40</v>
      </c>
    </row>
    <row r="3" spans="1:4" x14ac:dyDescent="0.3">
      <c r="A3" s="69" t="s">
        <v>41</v>
      </c>
      <c r="B3" s="69" t="s">
        <v>42</v>
      </c>
      <c r="C3" s="69" t="s">
        <v>43</v>
      </c>
      <c r="D3" s="69" t="s">
        <v>44</v>
      </c>
    </row>
    <row r="4" spans="1:4" x14ac:dyDescent="0.3">
      <c r="A4" s="69" t="s">
        <v>45</v>
      </c>
      <c r="B4" s="69" t="s">
        <v>46</v>
      </c>
      <c r="C4" s="69" t="s">
        <v>47</v>
      </c>
      <c r="D4" s="69" t="s">
        <v>48</v>
      </c>
    </row>
    <row r="5" spans="1:4" x14ac:dyDescent="0.3">
      <c r="A5" s="69" t="s">
        <v>49</v>
      </c>
      <c r="B5" s="69" t="s">
        <v>50</v>
      </c>
      <c r="C5" s="69" t="s">
        <v>51</v>
      </c>
      <c r="D5" s="69" t="s">
        <v>52</v>
      </c>
    </row>
    <row r="6" spans="1:4" x14ac:dyDescent="0.3">
      <c r="A6" s="69" t="s">
        <v>53</v>
      </c>
      <c r="B6" s="69" t="s">
        <v>54</v>
      </c>
      <c r="C6" s="69" t="s">
        <v>55</v>
      </c>
      <c r="D6" s="69" t="s">
        <v>56</v>
      </c>
    </row>
    <row r="7" spans="1:4" x14ac:dyDescent="0.3">
      <c r="A7" s="69" t="s">
        <v>57</v>
      </c>
      <c r="B7" s="69" t="s">
        <v>58</v>
      </c>
      <c r="C7" s="69" t="s">
        <v>59</v>
      </c>
      <c r="D7" s="69" t="s">
        <v>60</v>
      </c>
    </row>
    <row r="8" spans="1:4" x14ac:dyDescent="0.3">
      <c r="A8" s="69" t="s">
        <v>61</v>
      </c>
      <c r="B8" s="69" t="s">
        <v>62</v>
      </c>
      <c r="C8" s="69" t="s">
        <v>63</v>
      </c>
      <c r="D8" s="69" t="s">
        <v>64</v>
      </c>
    </row>
    <row r="9" spans="1:4" x14ac:dyDescent="0.3">
      <c r="A9" s="69"/>
      <c r="B9" s="69"/>
      <c r="C9" s="69"/>
      <c r="D9" s="69"/>
    </row>
    <row r="10" spans="1:4" x14ac:dyDescent="0.3">
      <c r="A10" s="68" t="s">
        <v>65</v>
      </c>
      <c r="B10" s="68" t="s">
        <v>66</v>
      </c>
      <c r="C10" s="68" t="s">
        <v>67</v>
      </c>
      <c r="D10" s="68"/>
    </row>
    <row r="11" spans="1:4" ht="28.8" x14ac:dyDescent="0.3">
      <c r="A11" s="69" t="s">
        <v>68</v>
      </c>
      <c r="B11" s="69" t="s">
        <v>69</v>
      </c>
      <c r="C11" s="69" t="s">
        <v>70</v>
      </c>
      <c r="D11" s="69"/>
    </row>
    <row r="12" spans="1:4" x14ac:dyDescent="0.3">
      <c r="A12" s="69" t="s">
        <v>71</v>
      </c>
      <c r="B12" s="69" t="s">
        <v>72</v>
      </c>
      <c r="C12" s="69" t="s">
        <v>73</v>
      </c>
      <c r="D12" s="69"/>
    </row>
    <row r="13" spans="1:4" x14ac:dyDescent="0.3">
      <c r="A13" s="69" t="s">
        <v>74</v>
      </c>
      <c r="B13" s="69" t="s">
        <v>75</v>
      </c>
      <c r="C13" s="69" t="s">
        <v>76</v>
      </c>
      <c r="D13" s="69"/>
    </row>
    <row r="14" spans="1:4" x14ac:dyDescent="0.3">
      <c r="A14" s="69" t="s">
        <v>77</v>
      </c>
      <c r="B14" s="69" t="s">
        <v>78</v>
      </c>
      <c r="C14" s="69" t="s">
        <v>79</v>
      </c>
      <c r="D14" s="69"/>
    </row>
    <row r="15" spans="1:4" x14ac:dyDescent="0.3">
      <c r="A15" s="69" t="s">
        <v>80</v>
      </c>
      <c r="B15" s="69" t="s">
        <v>81</v>
      </c>
      <c r="C15" s="69" t="s">
        <v>82</v>
      </c>
      <c r="D15" s="69"/>
    </row>
    <row r="16" spans="1:4" x14ac:dyDescent="0.3">
      <c r="A16" s="69"/>
      <c r="B16" s="69"/>
      <c r="C16" s="69"/>
      <c r="D16" s="69"/>
    </row>
    <row r="17" spans="1:4" x14ac:dyDescent="0.3">
      <c r="A17" s="68" t="s">
        <v>83</v>
      </c>
      <c r="B17" s="68" t="s">
        <v>84</v>
      </c>
      <c r="C17" s="68" t="s">
        <v>85</v>
      </c>
      <c r="D17" s="68" t="s">
        <v>86</v>
      </c>
    </row>
    <row r="18" spans="1:4" x14ac:dyDescent="0.3">
      <c r="A18" s="69" t="s">
        <v>19</v>
      </c>
      <c r="B18" s="70">
        <v>0.3</v>
      </c>
      <c r="C18" s="70">
        <v>0.5</v>
      </c>
      <c r="D18" s="69" t="s">
        <v>87</v>
      </c>
    </row>
    <row r="19" spans="1:4" x14ac:dyDescent="0.3">
      <c r="A19" s="69" t="s">
        <v>32</v>
      </c>
      <c r="B19" s="70">
        <v>0.32</v>
      </c>
      <c r="C19" s="70">
        <v>0.35</v>
      </c>
      <c r="D19" s="69" t="s">
        <v>88</v>
      </c>
    </row>
    <row r="20" spans="1:4" x14ac:dyDescent="0.3">
      <c r="A20" s="69" t="s">
        <v>33</v>
      </c>
      <c r="B20" s="70">
        <v>0.5</v>
      </c>
      <c r="C20" s="70">
        <v>0.1</v>
      </c>
      <c r="D20" s="69" t="s">
        <v>89</v>
      </c>
    </row>
    <row r="21" spans="1:4" x14ac:dyDescent="0.3">
      <c r="A21" s="69"/>
      <c r="B21" s="69"/>
      <c r="C21" s="69"/>
      <c r="D21" s="69"/>
    </row>
    <row r="22" spans="1:4" x14ac:dyDescent="0.3">
      <c r="A22" s="68" t="s">
        <v>90</v>
      </c>
      <c r="B22" s="68" t="s">
        <v>91</v>
      </c>
      <c r="C22" s="68" t="s">
        <v>92</v>
      </c>
      <c r="D22" s="68" t="s">
        <v>93</v>
      </c>
    </row>
    <row r="23" spans="1:4" x14ac:dyDescent="0.3">
      <c r="A23" s="69" t="s">
        <v>19</v>
      </c>
      <c r="B23" s="69" t="s">
        <v>44</v>
      </c>
      <c r="C23" s="69" t="s">
        <v>94</v>
      </c>
      <c r="D23" s="69" t="s">
        <v>95</v>
      </c>
    </row>
    <row r="24" spans="1:4" x14ac:dyDescent="0.3">
      <c r="A24" s="69" t="s">
        <v>33</v>
      </c>
      <c r="B24" s="69" t="s">
        <v>44</v>
      </c>
      <c r="C24" s="69" t="s">
        <v>94</v>
      </c>
      <c r="D24" s="69" t="s">
        <v>96</v>
      </c>
    </row>
    <row r="25" spans="1:4" x14ac:dyDescent="0.3">
      <c r="A25" s="69"/>
      <c r="B25" s="69"/>
      <c r="C25" s="69"/>
      <c r="D25" s="69"/>
    </row>
    <row r="26" spans="1:4" x14ac:dyDescent="0.3">
      <c r="A26" s="71" t="s">
        <v>97</v>
      </c>
      <c r="B26" s="71" t="s">
        <v>98</v>
      </c>
      <c r="C26" s="71" t="s">
        <v>99</v>
      </c>
      <c r="D26" s="71" t="s">
        <v>100</v>
      </c>
    </row>
    <row r="27" spans="1:4" ht="28.8" x14ac:dyDescent="0.3">
      <c r="A27" s="72" t="s">
        <v>101</v>
      </c>
      <c r="B27" s="72" t="s">
        <v>102</v>
      </c>
      <c r="C27" s="72" t="s">
        <v>103</v>
      </c>
      <c r="D27" s="72" t="s">
        <v>104</v>
      </c>
    </row>
    <row r="28" spans="1:4" ht="28.8" x14ac:dyDescent="0.3">
      <c r="A28" s="73" t="s">
        <v>105</v>
      </c>
      <c r="B28" s="73" t="s">
        <v>106</v>
      </c>
      <c r="C28" s="73" t="s">
        <v>107</v>
      </c>
      <c r="D28" s="73" t="s">
        <v>108</v>
      </c>
    </row>
    <row r="29" spans="1:4" ht="28.8" x14ac:dyDescent="0.3">
      <c r="A29" s="73" t="s">
        <v>109</v>
      </c>
      <c r="B29" s="73" t="s">
        <v>110</v>
      </c>
      <c r="C29" s="73" t="s">
        <v>111</v>
      </c>
      <c r="D29" s="73" t="s">
        <v>112</v>
      </c>
    </row>
  </sheetData>
  <mergeCells count="1">
    <mergeCell ref="A1:D1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19</vt:i4>
      </vt:variant>
    </vt:vector>
  </HeadingPairs>
  <TitlesOfParts>
    <vt:vector size="24" baseType="lpstr">
      <vt:lpstr>APP</vt:lpstr>
      <vt:lpstr>Evidência Conservador</vt:lpstr>
      <vt:lpstr>Evidência Agressivo</vt:lpstr>
      <vt:lpstr>Sheet2</vt:lpstr>
      <vt:lpstr>Guia do Portfólio</vt:lpstr>
      <vt:lpstr>'Evidência Agressivo'!aporte</vt:lpstr>
      <vt:lpstr>'Evidência Conservador'!aporte</vt:lpstr>
      <vt:lpstr>aporte</vt:lpstr>
      <vt:lpstr>'Evidência Agressivo'!patrimonio</vt:lpstr>
      <vt:lpstr>'Evidência Conservador'!patrimonio</vt:lpstr>
      <vt:lpstr>patrimonio</vt:lpstr>
      <vt:lpstr>APP!Print_Area</vt:lpstr>
      <vt:lpstr>'Evidência Agressivo'!Print_Area</vt:lpstr>
      <vt:lpstr>'Evidência Conservador'!Print_Area</vt:lpstr>
      <vt:lpstr>'Guia do Portfólio'!Print_Area</vt:lpstr>
      <vt:lpstr>'Evidência Agressivo'!qtd_anos</vt:lpstr>
      <vt:lpstr>'Evidência Conservador'!qtd_anos</vt:lpstr>
      <vt:lpstr>qtd_anos</vt:lpstr>
      <vt:lpstr>'Evidência Agressivo'!rendimento_carteira</vt:lpstr>
      <vt:lpstr>'Evidência Conservador'!rendimento_carteira</vt:lpstr>
      <vt:lpstr>rendimento_carteira</vt:lpstr>
      <vt:lpstr>'Evidência Agressivo'!taxa_mensal</vt:lpstr>
      <vt:lpstr>'Evidência Conservador'!taxa_mensal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Rhavena Maria Sá</dc:creator>
  <cp:lastModifiedBy>Rhavena Maria Sá</cp:lastModifiedBy>
  <dcterms:created xsi:type="dcterms:W3CDTF">2026-01-29T16:30:31Z</dcterms:created>
  <dcterms:modified xsi:type="dcterms:W3CDTF">2026-10-15T18:16:29Z</dcterms:modified>
</cp:coreProperties>
</file>